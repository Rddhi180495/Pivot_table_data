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60" windowWidth="22932" windowHeight="9504"/>
  </bookViews>
  <sheets>
    <sheet name="Absolute Ref Micro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N3" i="1"/>
  <c r="N4"/>
  <c r="N5"/>
  <c r="N6"/>
  <c r="N7"/>
  <c r="N8"/>
  <c r="N9"/>
  <c r="N10"/>
  <c r="N11"/>
  <c r="N12"/>
  <c r="N13"/>
  <c r="N2"/>
  <c r="M3"/>
  <c r="M4"/>
  <c r="M5"/>
  <c r="M6"/>
  <c r="M7"/>
  <c r="M8"/>
  <c r="M9"/>
  <c r="M10"/>
  <c r="M11"/>
  <c r="M12"/>
  <c r="M13"/>
  <c r="M2"/>
  <c r="T3"/>
  <c r="T4"/>
  <c r="T5"/>
  <c r="T6"/>
  <c r="T7"/>
  <c r="T8"/>
  <c r="T9"/>
  <c r="T10"/>
  <c r="T11"/>
  <c r="T12"/>
  <c r="T2"/>
  <c r="S3"/>
  <c r="S4"/>
  <c r="S5"/>
  <c r="S6"/>
  <c r="S7"/>
  <c r="S8"/>
  <c r="S9"/>
  <c r="S10"/>
  <c r="S11"/>
  <c r="S12"/>
  <c r="S2"/>
</calcChain>
</file>

<file path=xl/sharedStrings.xml><?xml version="1.0" encoding="utf-8"?>
<sst xmlns="http://schemas.openxmlformats.org/spreadsheetml/2006/main" count="402" uniqueCount="57">
  <si>
    <t>ORDER ID</t>
  </si>
  <si>
    <t>BRAND</t>
  </si>
  <si>
    <t>MONTH</t>
  </si>
  <si>
    <t>Region</t>
  </si>
  <si>
    <t>STATE</t>
  </si>
  <si>
    <t>CITY</t>
  </si>
  <si>
    <t>QTY</t>
  </si>
  <si>
    <t>AMT</t>
  </si>
  <si>
    <t>MAX AIR</t>
  </si>
  <si>
    <t>Apr</t>
  </si>
  <si>
    <t>West</t>
  </si>
  <si>
    <t>RAJASTHAN</t>
  </si>
  <si>
    <t>SRIGANGANAGAR</t>
  </si>
  <si>
    <t>Central</t>
  </si>
  <si>
    <t>MADHYA PRADESH</t>
  </si>
  <si>
    <t>INDORE</t>
  </si>
  <si>
    <t>East</t>
  </si>
  <si>
    <t>JHARKHAND</t>
  </si>
  <si>
    <t>TATANAGAR</t>
  </si>
  <si>
    <t>RANCHI</t>
  </si>
  <si>
    <t>CHHATISGARH</t>
  </si>
  <si>
    <t>RAIPUR</t>
  </si>
  <si>
    <t>AMBIKAPUR</t>
  </si>
  <si>
    <t>BIHAR</t>
  </si>
  <si>
    <t>MUZAFFARPUR</t>
  </si>
  <si>
    <t>KATHIHAR</t>
  </si>
  <si>
    <t>JAYNAGAR</t>
  </si>
  <si>
    <t>JAIPUR</t>
  </si>
  <si>
    <t>South</t>
  </si>
  <si>
    <t>ANDHRA PRADESH</t>
  </si>
  <si>
    <t>VIJAYWADA</t>
  </si>
  <si>
    <t>HYDRABAD</t>
  </si>
  <si>
    <t>WEST BENGAL</t>
  </si>
  <si>
    <t>SILIGUDI</t>
  </si>
  <si>
    <t>TAMIL NADU</t>
  </si>
  <si>
    <t>CHENNAI</t>
  </si>
  <si>
    <t>KIRKEND</t>
  </si>
  <si>
    <t>BILASPUR</t>
  </si>
  <si>
    <t>REXUAL</t>
  </si>
  <si>
    <t>Not Available</t>
  </si>
  <si>
    <t>MUJAFARPUR</t>
  </si>
  <si>
    <t>KATIHAR</t>
  </si>
  <si>
    <t>BIHAR SHARIF</t>
  </si>
  <si>
    <t>VIZIANAGARAM</t>
  </si>
  <si>
    <t>North</t>
  </si>
  <si>
    <t>UTTARAKHAND</t>
  </si>
  <si>
    <t>RUDRAPUR</t>
  </si>
  <si>
    <t>BANBASA</t>
  </si>
  <si>
    <t>MADURAI</t>
  </si>
  <si>
    <t>GUJARAT</t>
  </si>
  <si>
    <t>SURAT</t>
  </si>
  <si>
    <t>PATNA JUNCTION</t>
  </si>
  <si>
    <t>MAHARASHTRA</t>
  </si>
  <si>
    <t>GANDHINAGAR</t>
  </si>
  <si>
    <t>Quantity</t>
  </si>
  <si>
    <t>Amt</t>
  </si>
  <si>
    <t>Micros will show in same column &amp; location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</si>
</sst>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281940</xdr:colOff>
      <xdr:row>1</xdr:row>
      <xdr:rowOff>45720</xdr:rowOff>
    </xdr:from>
    <xdr:to>
      <xdr:col>9</xdr:col>
      <xdr:colOff>411480</xdr:colOff>
      <xdr:row>3</xdr:row>
      <xdr:rowOff>7620</xdr:rowOff>
    </xdr:to>
    <xdr:sp macro="[0]!Macro3" textlink="">
      <xdr:nvSpPr>
        <xdr:cNvPr id="2" name="Rectangle 1"/>
        <xdr:cNvSpPr/>
      </xdr:nvSpPr>
      <xdr:spPr>
        <a:xfrm>
          <a:off x="5334000" y="228600"/>
          <a:ext cx="739140" cy="327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Get</a:t>
          </a:r>
          <a:r>
            <a:rPr lang="en-US" sz="1100" baseline="0"/>
            <a:t> </a:t>
          </a:r>
        </a:p>
        <a:p>
          <a:pPr algn="ctr"/>
          <a:r>
            <a:rPr lang="en-US" sz="1100"/>
            <a:t>Report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H61" totalsRowShown="0">
  <autoFilter ref="A1:H61"/>
  <tableColumns count="8">
    <tableColumn id="1" name="ORDER ID"/>
    <tableColumn id="2" name="BRAND"/>
    <tableColumn id="3" name="MONTH"/>
    <tableColumn id="4" name="Region"/>
    <tableColumn id="5" name="STATE"/>
    <tableColumn id="6" name="CITY"/>
    <tableColumn id="7" name="QTY"/>
    <tableColumn id="8" name="AMT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61"/>
  <sheetViews>
    <sheetView tabSelected="1" workbookViewId="0">
      <selection activeCell="L18" sqref="L18"/>
    </sheetView>
  </sheetViews>
  <sheetFormatPr defaultRowHeight="14.4"/>
  <cols>
    <col min="1" max="1" width="10.88671875" customWidth="1"/>
    <col min="3" max="3" width="9.44140625" customWidth="1"/>
    <col min="15" max="17" width="11.33203125" customWidth="1"/>
  </cols>
  <sheetData>
    <row r="1" spans="1:2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L1" t="s">
        <v>4</v>
      </c>
      <c r="M1" t="s">
        <v>6</v>
      </c>
      <c r="N1" t="s">
        <v>7</v>
      </c>
      <c r="R1" s="10" t="s">
        <v>11</v>
      </c>
      <c r="S1" s="10" t="s">
        <v>54</v>
      </c>
      <c r="T1" s="10" t="s">
        <v>55</v>
      </c>
    </row>
    <row r="2" spans="1:20">
      <c r="A2">
        <v>18805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>
        <v>214</v>
      </c>
      <c r="H2">
        <v>74900</v>
      </c>
      <c r="L2" t="s">
        <v>11</v>
      </c>
      <c r="M2">
        <f>SUMIF(E:E,L2,G:G)</f>
        <v>3520</v>
      </c>
      <c r="N2">
        <f>SUMIF(E:E,L2,H:H)</f>
        <v>1150226</v>
      </c>
      <c r="R2" s="10" t="s">
        <v>14</v>
      </c>
      <c r="S2" s="10">
        <f>SUMIF(E:E,R2,G:G)</f>
        <v>192</v>
      </c>
      <c r="T2" s="10">
        <f>SUMIF(E:E,R2,H:H)</f>
        <v>63744</v>
      </c>
    </row>
    <row r="3" spans="1:20">
      <c r="A3">
        <v>18804</v>
      </c>
      <c r="B3" t="s">
        <v>8</v>
      </c>
      <c r="C3" t="s">
        <v>9</v>
      </c>
      <c r="D3" t="s">
        <v>10</v>
      </c>
      <c r="E3" t="s">
        <v>11</v>
      </c>
      <c r="F3" t="s">
        <v>12</v>
      </c>
      <c r="G3">
        <v>144</v>
      </c>
      <c r="H3">
        <v>50400</v>
      </c>
      <c r="L3" t="s">
        <v>14</v>
      </c>
      <c r="M3">
        <f t="shared" ref="M3:M13" si="0">SUMIF(E:E,L3,G:G)</f>
        <v>192</v>
      </c>
      <c r="N3">
        <f t="shared" ref="N3:N13" si="1">SUMIF(E:E,L3,H:H)</f>
        <v>63744</v>
      </c>
      <c r="R3" s="10" t="s">
        <v>17</v>
      </c>
      <c r="S3" s="10">
        <f>SUMIF(E:E,R3,G:G)</f>
        <v>576</v>
      </c>
      <c r="T3" s="10">
        <f>SUMIF(E:E,R3,H:H)</f>
        <v>200160</v>
      </c>
    </row>
    <row r="4" spans="1:20">
      <c r="A4">
        <v>18803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>
        <v>144</v>
      </c>
      <c r="H4">
        <v>50400</v>
      </c>
      <c r="L4" t="s">
        <v>17</v>
      </c>
      <c r="M4">
        <f t="shared" si="0"/>
        <v>576</v>
      </c>
      <c r="N4">
        <f t="shared" si="1"/>
        <v>200160</v>
      </c>
      <c r="R4" s="10" t="s">
        <v>20</v>
      </c>
      <c r="S4" s="10">
        <f>SUMIF(E:E,R4,G:G)</f>
        <v>648</v>
      </c>
      <c r="T4" s="10">
        <f>SUMIF(E:E,R4,H:H)</f>
        <v>217176</v>
      </c>
    </row>
    <row r="5" spans="1:20">
      <c r="A5">
        <v>18802</v>
      </c>
      <c r="B5" t="s">
        <v>8</v>
      </c>
      <c r="C5" t="s">
        <v>9</v>
      </c>
      <c r="D5" t="s">
        <v>13</v>
      </c>
      <c r="E5" t="s">
        <v>14</v>
      </c>
      <c r="F5" t="s">
        <v>15</v>
      </c>
      <c r="G5">
        <v>96</v>
      </c>
      <c r="H5">
        <v>31872</v>
      </c>
      <c r="L5" t="s">
        <v>20</v>
      </c>
      <c r="M5">
        <f t="shared" si="0"/>
        <v>648</v>
      </c>
      <c r="N5">
        <f t="shared" si="1"/>
        <v>217176</v>
      </c>
      <c r="R5" s="10" t="s">
        <v>23</v>
      </c>
      <c r="S5" s="10">
        <f>SUMIF(E:E,R5,G:G)</f>
        <v>2952</v>
      </c>
      <c r="T5" s="10">
        <f>SUMIF(E:E,R5,H:H)</f>
        <v>967056</v>
      </c>
    </row>
    <row r="6" spans="1:20">
      <c r="A6">
        <v>18801</v>
      </c>
      <c r="B6" t="s">
        <v>8</v>
      </c>
      <c r="C6" t="s">
        <v>9</v>
      </c>
      <c r="D6" t="s">
        <v>16</v>
      </c>
      <c r="E6" t="s">
        <v>17</v>
      </c>
      <c r="F6" t="s">
        <v>18</v>
      </c>
      <c r="G6">
        <v>72</v>
      </c>
      <c r="H6">
        <v>26136.000000000004</v>
      </c>
      <c r="L6" t="s">
        <v>23</v>
      </c>
      <c r="M6">
        <f t="shared" si="0"/>
        <v>2952</v>
      </c>
      <c r="N6">
        <f t="shared" si="1"/>
        <v>967056</v>
      </c>
      <c r="R6" s="10" t="s">
        <v>29</v>
      </c>
      <c r="S6" s="10">
        <f>SUMIF(E:E,R6,G:G)</f>
        <v>1092</v>
      </c>
      <c r="T6" s="10">
        <f>SUMIF(E:E,R6,H:H)</f>
        <v>370860</v>
      </c>
    </row>
    <row r="7" spans="1:20">
      <c r="A7">
        <v>18800</v>
      </c>
      <c r="B7" t="s">
        <v>8</v>
      </c>
      <c r="C7" t="s">
        <v>9</v>
      </c>
      <c r="D7" t="s">
        <v>16</v>
      </c>
      <c r="E7" t="s">
        <v>17</v>
      </c>
      <c r="F7" t="s">
        <v>19</v>
      </c>
      <c r="G7">
        <v>408</v>
      </c>
      <c r="H7">
        <v>142152</v>
      </c>
      <c r="L7" t="s">
        <v>29</v>
      </c>
      <c r="M7">
        <f t="shared" si="0"/>
        <v>1092</v>
      </c>
      <c r="N7">
        <f t="shared" si="1"/>
        <v>370860</v>
      </c>
      <c r="R7" s="10" t="s">
        <v>32</v>
      </c>
      <c r="S7" s="10">
        <f>SUMIF(E:E,R7,G:G)</f>
        <v>192</v>
      </c>
      <c r="T7" s="10">
        <f>SUMIF(E:E,R7,H:H)</f>
        <v>61152</v>
      </c>
    </row>
    <row r="8" spans="1:20">
      <c r="A8">
        <v>18799</v>
      </c>
      <c r="B8" t="s">
        <v>8</v>
      </c>
      <c r="C8" t="s">
        <v>9</v>
      </c>
      <c r="D8" t="s">
        <v>13</v>
      </c>
      <c r="E8" t="s">
        <v>20</v>
      </c>
      <c r="F8" t="s">
        <v>21</v>
      </c>
      <c r="G8">
        <v>96</v>
      </c>
      <c r="H8">
        <v>31872</v>
      </c>
      <c r="L8" t="s">
        <v>32</v>
      </c>
      <c r="M8">
        <f t="shared" si="0"/>
        <v>192</v>
      </c>
      <c r="N8">
        <f t="shared" si="1"/>
        <v>61152</v>
      </c>
      <c r="R8" s="10" t="s">
        <v>34</v>
      </c>
      <c r="S8" s="10">
        <f>SUMIF(E:E,R8,G:G)</f>
        <v>570</v>
      </c>
      <c r="T8" s="10">
        <f>SUMIF(E:E,R8,H:H)</f>
        <v>180654</v>
      </c>
    </row>
    <row r="9" spans="1:20">
      <c r="A9">
        <v>18798</v>
      </c>
      <c r="B9" t="s">
        <v>8</v>
      </c>
      <c r="C9" t="s">
        <v>9</v>
      </c>
      <c r="D9" t="s">
        <v>13</v>
      </c>
      <c r="E9" t="s">
        <v>20</v>
      </c>
      <c r="F9" t="s">
        <v>22</v>
      </c>
      <c r="G9">
        <v>168</v>
      </c>
      <c r="H9">
        <v>58008</v>
      </c>
      <c r="L9" t="s">
        <v>34</v>
      </c>
      <c r="M9">
        <f t="shared" si="0"/>
        <v>570</v>
      </c>
      <c r="N9">
        <f t="shared" si="1"/>
        <v>180654</v>
      </c>
      <c r="R9" s="10" t="s">
        <v>39</v>
      </c>
      <c r="S9" s="10">
        <f>SUMIF(E:E,R9,G:G)</f>
        <v>450</v>
      </c>
      <c r="T9" s="10">
        <f>SUMIF(E:E,R9,H:H)</f>
        <v>150822</v>
      </c>
    </row>
    <row r="10" spans="1:20">
      <c r="A10">
        <v>18797</v>
      </c>
      <c r="B10" t="s">
        <v>8</v>
      </c>
      <c r="C10" t="s">
        <v>9</v>
      </c>
      <c r="D10" t="s">
        <v>16</v>
      </c>
      <c r="E10" t="s">
        <v>23</v>
      </c>
      <c r="F10" t="s">
        <v>24</v>
      </c>
      <c r="G10">
        <v>168</v>
      </c>
      <c r="H10">
        <v>58008</v>
      </c>
      <c r="L10" t="s">
        <v>39</v>
      </c>
      <c r="M10">
        <f t="shared" si="0"/>
        <v>450</v>
      </c>
      <c r="N10">
        <f t="shared" si="1"/>
        <v>150822</v>
      </c>
      <c r="R10" s="10" t="s">
        <v>45</v>
      </c>
      <c r="S10" s="10">
        <f>SUMIF(E:E,R10,G:G)</f>
        <v>666</v>
      </c>
      <c r="T10" s="10">
        <f>SUMIF(E:E,R10,H:H)</f>
        <v>233478</v>
      </c>
    </row>
    <row r="11" spans="1:20">
      <c r="A11">
        <v>18796</v>
      </c>
      <c r="B11" t="s">
        <v>8</v>
      </c>
      <c r="C11" t="s">
        <v>9</v>
      </c>
      <c r="D11" t="s">
        <v>16</v>
      </c>
      <c r="E11" t="s">
        <v>23</v>
      </c>
      <c r="F11" t="s">
        <v>25</v>
      </c>
      <c r="G11">
        <v>90</v>
      </c>
      <c r="H11">
        <v>29070</v>
      </c>
      <c r="L11" t="s">
        <v>45</v>
      </c>
      <c r="M11">
        <f t="shared" si="0"/>
        <v>666</v>
      </c>
      <c r="N11">
        <f t="shared" si="1"/>
        <v>233478</v>
      </c>
      <c r="R11" s="10" t="s">
        <v>49</v>
      </c>
      <c r="S11" s="10">
        <f>SUMIF(E:E,R11,G:G)</f>
        <v>9688</v>
      </c>
      <c r="T11" s="10">
        <f>SUMIF(E:E,R11,H:H)</f>
        <v>3210720</v>
      </c>
    </row>
    <row r="12" spans="1:20">
      <c r="A12">
        <v>18795</v>
      </c>
      <c r="B12" t="s">
        <v>8</v>
      </c>
      <c r="C12" t="s">
        <v>9</v>
      </c>
      <c r="D12" t="s">
        <v>16</v>
      </c>
      <c r="E12" t="s">
        <v>23</v>
      </c>
      <c r="F12" t="s">
        <v>26</v>
      </c>
      <c r="G12">
        <v>96</v>
      </c>
      <c r="H12">
        <v>31872</v>
      </c>
      <c r="L12" t="s">
        <v>49</v>
      </c>
      <c r="M12">
        <f t="shared" si="0"/>
        <v>9688</v>
      </c>
      <c r="N12">
        <f t="shared" si="1"/>
        <v>3210720</v>
      </c>
      <c r="R12" s="10" t="s">
        <v>52</v>
      </c>
      <c r="S12" s="10">
        <f>SUMIF(E:E,R12,G:G)</f>
        <v>288</v>
      </c>
      <c r="T12" s="10">
        <f>SUMIF(E:E,R12,H:H)</f>
        <v>90240</v>
      </c>
    </row>
    <row r="13" spans="1:20">
      <c r="A13">
        <v>18515</v>
      </c>
      <c r="B13" t="s">
        <v>8</v>
      </c>
      <c r="C13" t="s">
        <v>9</v>
      </c>
      <c r="D13" t="s">
        <v>10</v>
      </c>
      <c r="E13" t="s">
        <v>11</v>
      </c>
      <c r="F13" t="s">
        <v>27</v>
      </c>
      <c r="G13">
        <v>90</v>
      </c>
      <c r="H13">
        <v>29070</v>
      </c>
      <c r="L13" t="s">
        <v>52</v>
      </c>
      <c r="M13">
        <f t="shared" si="0"/>
        <v>288</v>
      </c>
      <c r="N13">
        <f t="shared" si="1"/>
        <v>90240</v>
      </c>
    </row>
    <row r="14" spans="1:20">
      <c r="A14">
        <v>18514</v>
      </c>
      <c r="B14" t="s">
        <v>8</v>
      </c>
      <c r="C14" t="s">
        <v>9</v>
      </c>
      <c r="D14" t="s">
        <v>16</v>
      </c>
      <c r="E14" t="s">
        <v>23</v>
      </c>
      <c r="F14" t="s">
        <v>24</v>
      </c>
      <c r="G14">
        <v>192</v>
      </c>
      <c r="H14">
        <v>63744</v>
      </c>
    </row>
    <row r="15" spans="1:20">
      <c r="A15">
        <v>18513</v>
      </c>
      <c r="B15" t="s">
        <v>8</v>
      </c>
      <c r="C15" t="s">
        <v>9</v>
      </c>
      <c r="D15" t="s">
        <v>16</v>
      </c>
      <c r="E15" t="s">
        <v>23</v>
      </c>
      <c r="F15" t="s">
        <v>25</v>
      </c>
      <c r="G15">
        <v>168</v>
      </c>
      <c r="H15">
        <v>58008</v>
      </c>
    </row>
    <row r="16" spans="1:20">
      <c r="A16">
        <v>18512</v>
      </c>
      <c r="B16" t="s">
        <v>8</v>
      </c>
      <c r="C16" t="s">
        <v>9</v>
      </c>
      <c r="D16" t="s">
        <v>16</v>
      </c>
      <c r="E16" t="s">
        <v>23</v>
      </c>
      <c r="F16" t="s">
        <v>26</v>
      </c>
      <c r="G16">
        <v>72</v>
      </c>
      <c r="H16">
        <v>26136.000000000004</v>
      </c>
    </row>
    <row r="17" spans="1:12">
      <c r="A17">
        <v>18511</v>
      </c>
      <c r="B17" t="s">
        <v>8</v>
      </c>
      <c r="C17" t="s">
        <v>9</v>
      </c>
      <c r="D17" t="s">
        <v>28</v>
      </c>
      <c r="E17" t="s">
        <v>29</v>
      </c>
      <c r="F17" t="s">
        <v>30</v>
      </c>
      <c r="G17">
        <v>330</v>
      </c>
      <c r="H17">
        <v>116814</v>
      </c>
      <c r="L17" t="s">
        <v>56</v>
      </c>
    </row>
    <row r="18" spans="1:12">
      <c r="A18">
        <v>18510</v>
      </c>
      <c r="B18" t="s">
        <v>8</v>
      </c>
      <c r="C18" t="s">
        <v>9</v>
      </c>
      <c r="D18" t="s">
        <v>28</v>
      </c>
      <c r="E18" t="s">
        <v>29</v>
      </c>
      <c r="F18" t="s">
        <v>31</v>
      </c>
      <c r="G18">
        <v>240</v>
      </c>
      <c r="H18">
        <v>82272</v>
      </c>
    </row>
    <row r="19" spans="1:12">
      <c r="A19">
        <v>18166</v>
      </c>
      <c r="B19" t="s">
        <v>8</v>
      </c>
      <c r="C19" t="s">
        <v>9</v>
      </c>
      <c r="D19" t="s">
        <v>16</v>
      </c>
      <c r="E19" t="s">
        <v>32</v>
      </c>
      <c r="F19" t="s">
        <v>33</v>
      </c>
      <c r="G19">
        <v>96</v>
      </c>
      <c r="H19">
        <v>31872</v>
      </c>
    </row>
    <row r="20" spans="1:12">
      <c r="A20">
        <v>18165</v>
      </c>
      <c r="B20" t="s">
        <v>8</v>
      </c>
      <c r="C20" t="s">
        <v>9</v>
      </c>
      <c r="D20" t="s">
        <v>28</v>
      </c>
      <c r="E20" t="s">
        <v>34</v>
      </c>
      <c r="F20" t="s">
        <v>35</v>
      </c>
      <c r="G20">
        <v>192</v>
      </c>
      <c r="H20">
        <v>63744</v>
      </c>
    </row>
    <row r="21" spans="1:12">
      <c r="A21">
        <v>18164</v>
      </c>
      <c r="B21" t="s">
        <v>8</v>
      </c>
      <c r="C21" t="s">
        <v>9</v>
      </c>
      <c r="D21" t="s">
        <v>10</v>
      </c>
      <c r="E21" t="s">
        <v>11</v>
      </c>
      <c r="F21" t="s">
        <v>12</v>
      </c>
      <c r="G21">
        <v>312</v>
      </c>
      <c r="H21">
        <v>107472</v>
      </c>
    </row>
    <row r="22" spans="1:12">
      <c r="A22">
        <v>18163</v>
      </c>
      <c r="B22" t="s">
        <v>8</v>
      </c>
      <c r="C22" t="s">
        <v>9</v>
      </c>
      <c r="D22" t="s">
        <v>10</v>
      </c>
      <c r="E22" t="s">
        <v>11</v>
      </c>
      <c r="F22" t="s">
        <v>12</v>
      </c>
      <c r="G22">
        <v>432</v>
      </c>
      <c r="H22">
        <v>147888</v>
      </c>
    </row>
    <row r="23" spans="1:12">
      <c r="A23">
        <v>18162</v>
      </c>
      <c r="B23" t="s">
        <v>8</v>
      </c>
      <c r="C23" t="s">
        <v>9</v>
      </c>
      <c r="D23" t="s">
        <v>10</v>
      </c>
      <c r="E23" t="s">
        <v>11</v>
      </c>
      <c r="F23" t="s">
        <v>12</v>
      </c>
      <c r="G23">
        <v>288</v>
      </c>
      <c r="H23">
        <v>95616</v>
      </c>
    </row>
    <row r="24" spans="1:12">
      <c r="A24">
        <v>18161</v>
      </c>
      <c r="B24" t="s">
        <v>8</v>
      </c>
      <c r="C24" t="s">
        <v>9</v>
      </c>
      <c r="D24" t="s">
        <v>13</v>
      </c>
      <c r="E24" t="s">
        <v>14</v>
      </c>
      <c r="F24" t="s">
        <v>15</v>
      </c>
      <c r="G24">
        <v>96</v>
      </c>
      <c r="H24">
        <v>31872</v>
      </c>
    </row>
    <row r="25" spans="1:12">
      <c r="A25">
        <v>18160</v>
      </c>
      <c r="B25" t="s">
        <v>8</v>
      </c>
      <c r="C25" t="s">
        <v>9</v>
      </c>
      <c r="D25" t="s">
        <v>16</v>
      </c>
      <c r="E25" t="s">
        <v>17</v>
      </c>
      <c r="F25" t="s">
        <v>36</v>
      </c>
      <c r="G25">
        <v>96</v>
      </c>
      <c r="H25">
        <v>31872</v>
      </c>
    </row>
    <row r="26" spans="1:12">
      <c r="A26">
        <v>18159</v>
      </c>
      <c r="B26" t="s">
        <v>8</v>
      </c>
      <c r="C26" t="s">
        <v>9</v>
      </c>
      <c r="D26" t="s">
        <v>13</v>
      </c>
      <c r="E26" t="s">
        <v>20</v>
      </c>
      <c r="F26" t="s">
        <v>37</v>
      </c>
      <c r="G26">
        <v>96</v>
      </c>
      <c r="H26">
        <v>31872</v>
      </c>
    </row>
    <row r="27" spans="1:12">
      <c r="A27">
        <v>18158</v>
      </c>
      <c r="B27" t="s">
        <v>8</v>
      </c>
      <c r="C27" t="s">
        <v>9</v>
      </c>
      <c r="D27" t="s">
        <v>13</v>
      </c>
      <c r="E27" t="s">
        <v>20</v>
      </c>
      <c r="F27" t="s">
        <v>22</v>
      </c>
      <c r="G27">
        <v>192</v>
      </c>
      <c r="H27">
        <v>63744</v>
      </c>
    </row>
    <row r="28" spans="1:12">
      <c r="A28">
        <v>18157</v>
      </c>
      <c r="B28" t="s">
        <v>8</v>
      </c>
      <c r="C28" t="s">
        <v>9</v>
      </c>
      <c r="D28" t="s">
        <v>16</v>
      </c>
      <c r="E28" t="s">
        <v>23</v>
      </c>
      <c r="F28" t="s">
        <v>38</v>
      </c>
      <c r="G28">
        <v>96</v>
      </c>
      <c r="H28">
        <v>31872</v>
      </c>
    </row>
    <row r="29" spans="1:12">
      <c r="A29">
        <v>18156</v>
      </c>
      <c r="B29" t="s">
        <v>8</v>
      </c>
      <c r="C29" t="s">
        <v>9</v>
      </c>
      <c r="E29" t="s">
        <v>39</v>
      </c>
      <c r="F29" t="s">
        <v>40</v>
      </c>
      <c r="G29">
        <v>192</v>
      </c>
      <c r="H29">
        <v>63744</v>
      </c>
    </row>
    <row r="30" spans="1:12">
      <c r="A30">
        <v>18155</v>
      </c>
      <c r="B30" t="s">
        <v>8</v>
      </c>
      <c r="C30" t="s">
        <v>9</v>
      </c>
      <c r="E30" t="s">
        <v>39</v>
      </c>
      <c r="F30" t="s">
        <v>41</v>
      </c>
      <c r="G30">
        <v>258</v>
      </c>
      <c r="H30">
        <v>87078</v>
      </c>
    </row>
    <row r="31" spans="1:12">
      <c r="A31">
        <v>18154</v>
      </c>
      <c r="B31" t="s">
        <v>8</v>
      </c>
      <c r="C31" t="s">
        <v>9</v>
      </c>
      <c r="D31" t="s">
        <v>16</v>
      </c>
      <c r="E31" t="s">
        <v>23</v>
      </c>
      <c r="F31" t="s">
        <v>42</v>
      </c>
      <c r="G31">
        <v>96</v>
      </c>
      <c r="H31">
        <v>31872</v>
      </c>
    </row>
    <row r="32" spans="1:12">
      <c r="A32">
        <v>18153</v>
      </c>
      <c r="B32" t="s">
        <v>8</v>
      </c>
      <c r="C32" t="s">
        <v>9</v>
      </c>
      <c r="D32" t="s">
        <v>28</v>
      </c>
      <c r="E32" t="s">
        <v>29</v>
      </c>
      <c r="F32" t="s">
        <v>43</v>
      </c>
      <c r="G32">
        <v>330</v>
      </c>
      <c r="H32">
        <v>113214</v>
      </c>
    </row>
    <row r="33" spans="1:8">
      <c r="A33">
        <v>17886</v>
      </c>
      <c r="B33" t="s">
        <v>8</v>
      </c>
      <c r="C33" t="s">
        <v>9</v>
      </c>
      <c r="D33" t="s">
        <v>44</v>
      </c>
      <c r="E33" t="s">
        <v>45</v>
      </c>
      <c r="F33" t="s">
        <v>46</v>
      </c>
      <c r="G33">
        <v>504</v>
      </c>
      <c r="H33">
        <v>178272</v>
      </c>
    </row>
    <row r="34" spans="1:8">
      <c r="A34">
        <v>17885</v>
      </c>
      <c r="B34" t="s">
        <v>8</v>
      </c>
      <c r="C34" t="s">
        <v>9</v>
      </c>
      <c r="D34" t="s">
        <v>44</v>
      </c>
      <c r="E34" t="s">
        <v>45</v>
      </c>
      <c r="F34" t="s">
        <v>47</v>
      </c>
      <c r="G34">
        <v>162</v>
      </c>
      <c r="H34">
        <v>55206</v>
      </c>
    </row>
    <row r="35" spans="1:8">
      <c r="A35">
        <v>17884</v>
      </c>
      <c r="B35" t="s">
        <v>8</v>
      </c>
      <c r="C35" t="s">
        <v>9</v>
      </c>
      <c r="D35" t="s">
        <v>28</v>
      </c>
      <c r="E35" t="s">
        <v>34</v>
      </c>
      <c r="F35" t="s">
        <v>48</v>
      </c>
      <c r="G35">
        <v>90</v>
      </c>
      <c r="H35">
        <v>29070</v>
      </c>
    </row>
    <row r="36" spans="1:8">
      <c r="A36">
        <v>17883</v>
      </c>
      <c r="B36" t="s">
        <v>8</v>
      </c>
      <c r="C36" t="s">
        <v>9</v>
      </c>
      <c r="D36" t="s">
        <v>10</v>
      </c>
      <c r="E36" t="s">
        <v>11</v>
      </c>
      <c r="F36" t="s">
        <v>12</v>
      </c>
      <c r="G36">
        <v>360</v>
      </c>
      <c r="H36">
        <v>126000</v>
      </c>
    </row>
    <row r="37" spans="1:8">
      <c r="A37">
        <v>17882</v>
      </c>
      <c r="B37" t="s">
        <v>8</v>
      </c>
      <c r="C37" t="s">
        <v>9</v>
      </c>
      <c r="D37" t="s">
        <v>16</v>
      </c>
      <c r="E37" t="s">
        <v>23</v>
      </c>
      <c r="F37" t="s">
        <v>24</v>
      </c>
      <c r="G37">
        <v>630</v>
      </c>
      <c r="H37">
        <v>216954</v>
      </c>
    </row>
    <row r="38" spans="1:8">
      <c r="A38">
        <v>2185</v>
      </c>
      <c r="B38" t="s">
        <v>8</v>
      </c>
      <c r="C38" t="s">
        <v>9</v>
      </c>
      <c r="D38" t="s">
        <v>10</v>
      </c>
      <c r="E38" t="s">
        <v>11</v>
      </c>
      <c r="F38" t="s">
        <v>12</v>
      </c>
      <c r="G38">
        <v>480</v>
      </c>
      <c r="H38">
        <v>146400</v>
      </c>
    </row>
    <row r="39" spans="1:8">
      <c r="A39">
        <v>2184</v>
      </c>
      <c r="B39" t="s">
        <v>8</v>
      </c>
      <c r="C39" t="s">
        <v>9</v>
      </c>
      <c r="D39" t="s">
        <v>10</v>
      </c>
      <c r="E39" t="s">
        <v>49</v>
      </c>
      <c r="F39" t="s">
        <v>50</v>
      </c>
      <c r="G39">
        <v>4091</v>
      </c>
      <c r="H39">
        <v>1447665</v>
      </c>
    </row>
    <row r="40" spans="1:8">
      <c r="A40">
        <v>2183</v>
      </c>
      <c r="B40" t="s">
        <v>8</v>
      </c>
      <c r="C40" t="s">
        <v>9</v>
      </c>
      <c r="D40" t="s">
        <v>16</v>
      </c>
      <c r="E40" t="s">
        <v>23</v>
      </c>
      <c r="F40" t="s">
        <v>40</v>
      </c>
      <c r="G40">
        <v>192</v>
      </c>
      <c r="H40">
        <v>58560</v>
      </c>
    </row>
    <row r="41" spans="1:8">
      <c r="A41">
        <v>2182</v>
      </c>
      <c r="B41" t="s">
        <v>8</v>
      </c>
      <c r="C41" t="s">
        <v>9</v>
      </c>
      <c r="D41" t="s">
        <v>16</v>
      </c>
      <c r="E41" t="s">
        <v>23</v>
      </c>
      <c r="F41" t="s">
        <v>51</v>
      </c>
      <c r="G41">
        <v>96</v>
      </c>
      <c r="H41">
        <v>29280</v>
      </c>
    </row>
    <row r="42" spans="1:8">
      <c r="A42">
        <v>2181</v>
      </c>
      <c r="B42" t="s">
        <v>8</v>
      </c>
      <c r="C42" t="s">
        <v>9</v>
      </c>
      <c r="D42" t="s">
        <v>28</v>
      </c>
      <c r="E42" t="s">
        <v>29</v>
      </c>
      <c r="F42" t="s">
        <v>30</v>
      </c>
      <c r="G42">
        <v>192</v>
      </c>
      <c r="H42">
        <v>58560</v>
      </c>
    </row>
    <row r="43" spans="1:8">
      <c r="A43">
        <v>1776</v>
      </c>
      <c r="B43" t="s">
        <v>8</v>
      </c>
      <c r="C43" t="s">
        <v>9</v>
      </c>
      <c r="D43" t="s">
        <v>16</v>
      </c>
      <c r="E43" t="s">
        <v>32</v>
      </c>
      <c r="F43" t="s">
        <v>33</v>
      </c>
      <c r="G43">
        <v>96</v>
      </c>
      <c r="H43">
        <v>29280</v>
      </c>
    </row>
    <row r="44" spans="1:8">
      <c r="A44">
        <v>1775</v>
      </c>
      <c r="B44" t="s">
        <v>8</v>
      </c>
      <c r="C44" t="s">
        <v>9</v>
      </c>
      <c r="D44" t="s">
        <v>28</v>
      </c>
      <c r="E44" t="s">
        <v>34</v>
      </c>
      <c r="F44" t="s">
        <v>35</v>
      </c>
      <c r="G44">
        <v>288</v>
      </c>
      <c r="H44">
        <v>87840</v>
      </c>
    </row>
    <row r="45" spans="1:8">
      <c r="A45">
        <v>1774</v>
      </c>
      <c r="B45" t="s">
        <v>8</v>
      </c>
      <c r="C45" t="s">
        <v>9</v>
      </c>
      <c r="D45" t="s">
        <v>10</v>
      </c>
      <c r="E45" t="s">
        <v>11</v>
      </c>
      <c r="F45" t="s">
        <v>12</v>
      </c>
      <c r="G45">
        <v>192</v>
      </c>
      <c r="H45">
        <v>58560</v>
      </c>
    </row>
    <row r="46" spans="1:8">
      <c r="A46">
        <v>1773</v>
      </c>
      <c r="B46" t="s">
        <v>8</v>
      </c>
      <c r="C46" t="s">
        <v>9</v>
      </c>
      <c r="D46" t="s">
        <v>10</v>
      </c>
      <c r="E46" t="s">
        <v>11</v>
      </c>
      <c r="F46" t="s">
        <v>12</v>
      </c>
      <c r="G46">
        <v>192</v>
      </c>
      <c r="H46">
        <v>58560</v>
      </c>
    </row>
    <row r="47" spans="1:8">
      <c r="A47">
        <v>1772</v>
      </c>
      <c r="B47" t="s">
        <v>8</v>
      </c>
      <c r="C47" t="s">
        <v>9</v>
      </c>
      <c r="D47" t="s">
        <v>10</v>
      </c>
      <c r="E47" t="s">
        <v>11</v>
      </c>
      <c r="F47" t="s">
        <v>12</v>
      </c>
      <c r="G47">
        <v>288</v>
      </c>
      <c r="H47">
        <v>87840</v>
      </c>
    </row>
    <row r="48" spans="1:8">
      <c r="A48">
        <v>1771</v>
      </c>
      <c r="B48" t="s">
        <v>8</v>
      </c>
      <c r="C48" t="s">
        <v>9</v>
      </c>
      <c r="D48" t="s">
        <v>10</v>
      </c>
      <c r="E48" t="s">
        <v>11</v>
      </c>
      <c r="F48" t="s">
        <v>12</v>
      </c>
      <c r="G48">
        <v>192</v>
      </c>
      <c r="H48">
        <v>58560</v>
      </c>
    </row>
    <row r="49" spans="1:8">
      <c r="A49">
        <v>1770</v>
      </c>
      <c r="B49" t="s">
        <v>8</v>
      </c>
      <c r="C49" t="s">
        <v>9</v>
      </c>
      <c r="D49" t="s">
        <v>10</v>
      </c>
      <c r="E49" t="s">
        <v>11</v>
      </c>
      <c r="F49" t="s">
        <v>12</v>
      </c>
      <c r="G49">
        <v>192</v>
      </c>
      <c r="H49">
        <v>58560</v>
      </c>
    </row>
    <row r="50" spans="1:8">
      <c r="A50">
        <v>1769</v>
      </c>
      <c r="B50" t="s">
        <v>8</v>
      </c>
      <c r="C50" t="s">
        <v>9</v>
      </c>
      <c r="D50" t="s">
        <v>10</v>
      </c>
      <c r="E50" t="s">
        <v>52</v>
      </c>
      <c r="F50" t="s">
        <v>53</v>
      </c>
      <c r="G50">
        <v>192</v>
      </c>
      <c r="H50">
        <v>58560</v>
      </c>
    </row>
    <row r="51" spans="1:8">
      <c r="A51">
        <v>1768</v>
      </c>
      <c r="B51" t="s">
        <v>8</v>
      </c>
      <c r="C51" t="s">
        <v>9</v>
      </c>
      <c r="D51" t="s">
        <v>16</v>
      </c>
      <c r="E51" t="s">
        <v>23</v>
      </c>
      <c r="F51" t="s">
        <v>40</v>
      </c>
      <c r="G51">
        <v>96</v>
      </c>
      <c r="H51">
        <v>29280</v>
      </c>
    </row>
    <row r="52" spans="1:8">
      <c r="A52">
        <v>1767</v>
      </c>
      <c r="B52" t="s">
        <v>8</v>
      </c>
      <c r="C52" t="s">
        <v>9</v>
      </c>
      <c r="D52" t="s">
        <v>16</v>
      </c>
      <c r="E52" t="s">
        <v>23</v>
      </c>
      <c r="F52" t="s">
        <v>40</v>
      </c>
      <c r="G52">
        <v>96</v>
      </c>
      <c r="H52">
        <v>29280</v>
      </c>
    </row>
    <row r="53" spans="1:8">
      <c r="A53">
        <v>1766</v>
      </c>
      <c r="B53" t="s">
        <v>8</v>
      </c>
      <c r="C53" t="s">
        <v>9</v>
      </c>
      <c r="D53" t="s">
        <v>16</v>
      </c>
      <c r="E53" t="s">
        <v>23</v>
      </c>
      <c r="F53" t="s">
        <v>51</v>
      </c>
      <c r="G53">
        <v>192</v>
      </c>
      <c r="H53">
        <v>58560</v>
      </c>
    </row>
    <row r="54" spans="1:8">
      <c r="A54">
        <v>1765</v>
      </c>
      <c r="B54" t="s">
        <v>8</v>
      </c>
      <c r="C54" t="s">
        <v>9</v>
      </c>
      <c r="D54" t="s">
        <v>16</v>
      </c>
      <c r="E54" t="s">
        <v>23</v>
      </c>
      <c r="F54" t="s">
        <v>51</v>
      </c>
      <c r="G54">
        <v>96</v>
      </c>
      <c r="H54">
        <v>29280</v>
      </c>
    </row>
    <row r="55" spans="1:8">
      <c r="A55">
        <v>1764</v>
      </c>
      <c r="B55" t="s">
        <v>8</v>
      </c>
      <c r="C55" t="s">
        <v>9</v>
      </c>
      <c r="D55" t="s">
        <v>16</v>
      </c>
      <c r="E55" t="s">
        <v>23</v>
      </c>
      <c r="F55" t="s">
        <v>38</v>
      </c>
      <c r="G55">
        <v>192</v>
      </c>
      <c r="H55">
        <v>58560</v>
      </c>
    </row>
    <row r="56" spans="1:8">
      <c r="A56">
        <v>1487</v>
      </c>
      <c r="B56" t="s">
        <v>8</v>
      </c>
      <c r="C56" t="s">
        <v>9</v>
      </c>
      <c r="D56" t="s">
        <v>10</v>
      </c>
      <c r="E56" t="s">
        <v>52</v>
      </c>
      <c r="F56" t="s">
        <v>53</v>
      </c>
      <c r="G56">
        <v>96</v>
      </c>
      <c r="H56">
        <v>31679.999999999996</v>
      </c>
    </row>
    <row r="57" spans="1:8">
      <c r="A57">
        <v>1486</v>
      </c>
      <c r="B57" t="s">
        <v>8</v>
      </c>
      <c r="C57" t="s">
        <v>9</v>
      </c>
      <c r="D57" t="s">
        <v>10</v>
      </c>
      <c r="E57" t="s">
        <v>49</v>
      </c>
      <c r="F57" t="s">
        <v>50</v>
      </c>
      <c r="G57">
        <v>4747</v>
      </c>
      <c r="H57">
        <v>1495305</v>
      </c>
    </row>
    <row r="58" spans="1:8">
      <c r="A58">
        <v>1178</v>
      </c>
      <c r="B58" t="s">
        <v>8</v>
      </c>
      <c r="C58" t="s">
        <v>9</v>
      </c>
      <c r="D58" t="s">
        <v>10</v>
      </c>
      <c r="E58" t="s">
        <v>49</v>
      </c>
      <c r="F58" t="s">
        <v>50</v>
      </c>
      <c r="G58">
        <v>850</v>
      </c>
      <c r="H58">
        <v>267750</v>
      </c>
    </row>
    <row r="59" spans="1:8">
      <c r="A59">
        <v>1177</v>
      </c>
      <c r="B59" t="s">
        <v>8</v>
      </c>
      <c r="C59" t="s">
        <v>9</v>
      </c>
      <c r="D59" t="s">
        <v>13</v>
      </c>
      <c r="E59" t="s">
        <v>20</v>
      </c>
      <c r="F59" t="s">
        <v>21</v>
      </c>
      <c r="G59">
        <v>96</v>
      </c>
      <c r="H59">
        <v>31679.999999999996</v>
      </c>
    </row>
    <row r="60" spans="1:8">
      <c r="A60">
        <v>1176</v>
      </c>
      <c r="B60" t="s">
        <v>8</v>
      </c>
      <c r="C60" t="s">
        <v>9</v>
      </c>
      <c r="D60" t="s">
        <v>16</v>
      </c>
      <c r="E60" t="s">
        <v>23</v>
      </c>
      <c r="F60" t="s">
        <v>40</v>
      </c>
      <c r="G60">
        <v>192</v>
      </c>
      <c r="H60">
        <v>63359.999999999993</v>
      </c>
    </row>
    <row r="61" spans="1:8">
      <c r="A61">
        <v>1175</v>
      </c>
      <c r="B61" t="s">
        <v>8</v>
      </c>
      <c r="C61" t="s">
        <v>9</v>
      </c>
      <c r="D61" t="s">
        <v>16</v>
      </c>
      <c r="E61" t="s">
        <v>23</v>
      </c>
      <c r="F61" t="s">
        <v>40</v>
      </c>
      <c r="G61">
        <v>192</v>
      </c>
      <c r="H61">
        <v>63359.999999999993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5"/>
  <sheetViews>
    <sheetView workbookViewId="0">
      <selection activeCell="E13" sqref="E13"/>
    </sheetView>
  </sheetViews>
  <sheetFormatPr defaultRowHeight="14.4"/>
  <cols>
    <col min="1" max="1" width="11.44140625" bestFit="1" customWidth="1"/>
    <col min="2" max="2" width="8.77734375" bestFit="1" customWidth="1"/>
    <col min="3" max="3" width="9.5546875" bestFit="1" customWidth="1"/>
    <col min="4" max="4" width="8.33203125" bestFit="1" customWidth="1"/>
    <col min="5" max="5" width="16.44140625" bestFit="1" customWidth="1"/>
    <col min="6" max="6" width="15.5546875" bestFit="1" customWidth="1"/>
    <col min="7" max="7" width="9" bestFit="1" customWidth="1"/>
    <col min="8" max="8" width="8" bestFit="1" customWidth="1"/>
    <col min="9" max="9" width="7.5546875" bestFit="1" customWidth="1"/>
    <col min="10" max="10" width="6.88671875" bestFit="1" customWidth="1"/>
    <col min="11" max="11" width="16.44140625" bestFit="1" customWidth="1"/>
    <col min="12" max="12" width="15.5546875" bestFit="1" customWidth="1"/>
    <col min="13" max="13" width="4.33203125" bestFit="1" customWidth="1"/>
    <col min="14" max="14" width="6" bestFit="1" customWidth="1"/>
  </cols>
  <sheetData>
    <row r="1" spans="1:14" ht="18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9" t="s">
        <v>7</v>
      </c>
    </row>
    <row r="2" spans="1:14">
      <c r="A2" s="1">
        <v>18805</v>
      </c>
      <c r="B2" s="2" t="s">
        <v>8</v>
      </c>
      <c r="C2" s="2" t="s">
        <v>9</v>
      </c>
      <c r="D2" s="2" t="s">
        <v>10</v>
      </c>
      <c r="E2" s="2" t="s">
        <v>11</v>
      </c>
      <c r="F2" s="2" t="s">
        <v>12</v>
      </c>
      <c r="G2" s="2">
        <v>214</v>
      </c>
      <c r="H2" s="3">
        <v>74900</v>
      </c>
    </row>
    <row r="3" spans="1:14">
      <c r="A3" s="4">
        <v>18804</v>
      </c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>
        <v>144</v>
      </c>
      <c r="H3" s="6">
        <v>50400</v>
      </c>
    </row>
    <row r="4" spans="1:14">
      <c r="A4" s="1">
        <v>18803</v>
      </c>
      <c r="B4" s="2" t="s">
        <v>8</v>
      </c>
      <c r="C4" s="2" t="s">
        <v>9</v>
      </c>
      <c r="D4" s="2" t="s">
        <v>10</v>
      </c>
      <c r="E4" s="2" t="s">
        <v>11</v>
      </c>
      <c r="F4" s="2" t="s">
        <v>12</v>
      </c>
      <c r="G4" s="2">
        <v>144</v>
      </c>
      <c r="H4" s="3">
        <v>50400</v>
      </c>
    </row>
    <row r="5" spans="1:14">
      <c r="A5" s="4">
        <v>18802</v>
      </c>
      <c r="B5" s="5" t="s">
        <v>8</v>
      </c>
      <c r="C5" s="5" t="s">
        <v>9</v>
      </c>
      <c r="D5" s="5" t="s">
        <v>13</v>
      </c>
      <c r="E5" s="5" t="s">
        <v>14</v>
      </c>
      <c r="F5" s="5" t="s">
        <v>15</v>
      </c>
      <c r="G5" s="5">
        <v>96</v>
      </c>
      <c r="H5" s="6">
        <v>31872</v>
      </c>
    </row>
    <row r="6" spans="1:14">
      <c r="A6" s="1">
        <v>18801</v>
      </c>
      <c r="B6" s="2" t="s">
        <v>8</v>
      </c>
      <c r="C6" s="2" t="s">
        <v>9</v>
      </c>
      <c r="D6" s="2" t="s">
        <v>16</v>
      </c>
      <c r="E6" s="2" t="s">
        <v>17</v>
      </c>
      <c r="F6" s="2" t="s">
        <v>18</v>
      </c>
      <c r="G6" s="2">
        <v>72</v>
      </c>
      <c r="H6" s="3">
        <v>26136.000000000004</v>
      </c>
    </row>
    <row r="10" spans="1:14">
      <c r="G10" t="s">
        <v>0</v>
      </c>
      <c r="H10" t="s">
        <v>1</v>
      </c>
      <c r="I10" t="s">
        <v>2</v>
      </c>
      <c r="J10" t="s">
        <v>3</v>
      </c>
      <c r="K10" t="s">
        <v>4</v>
      </c>
      <c r="L10" t="s">
        <v>5</v>
      </c>
      <c r="M10" t="s">
        <v>6</v>
      </c>
      <c r="N10" t="s">
        <v>7</v>
      </c>
    </row>
    <row r="11" spans="1:14">
      <c r="G11">
        <v>18805</v>
      </c>
      <c r="H11" t="s">
        <v>8</v>
      </c>
      <c r="I11" t="s">
        <v>9</v>
      </c>
      <c r="J11" t="s">
        <v>10</v>
      </c>
      <c r="K11" t="s">
        <v>11</v>
      </c>
      <c r="L11" t="s">
        <v>12</v>
      </c>
      <c r="M11">
        <v>214</v>
      </c>
      <c r="N11">
        <v>74900</v>
      </c>
    </row>
    <row r="12" spans="1:14">
      <c r="G12">
        <v>18804</v>
      </c>
      <c r="H12" t="s">
        <v>8</v>
      </c>
      <c r="I12" t="s">
        <v>9</v>
      </c>
      <c r="J12" t="s">
        <v>10</v>
      </c>
      <c r="K12" t="s">
        <v>11</v>
      </c>
      <c r="L12" t="s">
        <v>12</v>
      </c>
      <c r="M12">
        <v>144</v>
      </c>
      <c r="N12">
        <v>50400</v>
      </c>
    </row>
    <row r="13" spans="1:14">
      <c r="G13">
        <v>18803</v>
      </c>
      <c r="H13" t="s">
        <v>8</v>
      </c>
      <c r="I13" t="s">
        <v>9</v>
      </c>
      <c r="J13" t="s">
        <v>10</v>
      </c>
      <c r="K13" t="s">
        <v>11</v>
      </c>
      <c r="L13" t="s">
        <v>12</v>
      </c>
      <c r="M13">
        <v>144</v>
      </c>
      <c r="N13">
        <v>50400</v>
      </c>
    </row>
    <row r="14" spans="1:14">
      <c r="G14">
        <v>18802</v>
      </c>
      <c r="H14" t="s">
        <v>8</v>
      </c>
      <c r="I14" t="s">
        <v>9</v>
      </c>
      <c r="J14" t="s">
        <v>13</v>
      </c>
      <c r="K14" t="s">
        <v>14</v>
      </c>
      <c r="L14" t="s">
        <v>15</v>
      </c>
      <c r="M14">
        <v>96</v>
      </c>
      <c r="N14">
        <v>31872</v>
      </c>
    </row>
    <row r="15" spans="1:14">
      <c r="G15">
        <v>18801</v>
      </c>
      <c r="H15" t="s">
        <v>8</v>
      </c>
      <c r="I15" t="s">
        <v>9</v>
      </c>
      <c r="J15" t="s">
        <v>16</v>
      </c>
      <c r="K15" t="s">
        <v>17</v>
      </c>
      <c r="L15" t="s">
        <v>18</v>
      </c>
      <c r="M15">
        <v>72</v>
      </c>
      <c r="N15">
        <v>26136.000000000004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Absolute Ref Micro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2025-03-15T02:16:49Z</dcterms:created>
  <dcterms:modified xsi:type="dcterms:W3CDTF">2025-03-15T02:48:24Z</dcterms:modified>
</cp:coreProperties>
</file>